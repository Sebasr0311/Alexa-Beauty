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7abc9753c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a5617e2cae3e492f"/>
    <x:sheet xmlns:r="http://schemas.openxmlformats.org/officeDocument/2006/relationships" name="DETALLE_PRODUCTOS" sheetId="2" r:id="R5f4edb620a714c90"/>
    <x:sheet xmlns:r="http://schemas.openxmlformats.org/officeDocument/2006/relationships" name="TOP_PRODUCTOS" sheetId="3" r:id="R117e47d751014ee6"/>
    <x:sheet xmlns:r="http://schemas.openxmlformats.org/officeDocument/2006/relationships" name="RESUMEN" sheetId="4" r:id="Raf488610a2144087"/>
    <x:sheet xmlns:r="http://schemas.openxmlformats.org/officeDocument/2006/relationships" name="METADATOS" sheetId="5" r:id="R8e0e9f0df061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 &quot; #,##0"/>
    <x:numFmt numFmtId="201" formatCode="dd/mm/yyyy hh:mm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C1126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11A38"/>
      </x:patternFill>
    </x:fill>
    <x:fill>
      <x:patternFill patternType="solid">
        <x:fgColor rgb="FFF5E5E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2492e49a641ef" /><Relationship Type="http://schemas.openxmlformats.org/officeDocument/2006/relationships/theme" Target="/xl/theme/theme1.xml" Id="R5dbced314d8c4836" /><Relationship Type="http://schemas.openxmlformats.org/officeDocument/2006/relationships/sharedStrings" Target="/xl/sharedStrings.xml" Id="Rc8f675d5999c4c14" /><Relationship Type="http://schemas.openxmlformats.org/officeDocument/2006/relationships/worksheet" Target="/xl/worksheets/sheet1.xml" Id="Ra5617e2cae3e492f" /><Relationship Type="http://schemas.openxmlformats.org/officeDocument/2006/relationships/worksheet" Target="/xl/worksheets/sheet2.xml" Id="R5f4edb620a714c90" /><Relationship Type="http://schemas.openxmlformats.org/officeDocument/2006/relationships/worksheet" Target="/xl/worksheets/sheet3.xml" Id="R117e47d751014ee6" /><Relationship Type="http://schemas.openxmlformats.org/officeDocument/2006/relationships/worksheet" Target="/xl/worksheets/sheet4.xml" Id="Raf488610a2144087" /><Relationship Type="http://schemas.openxmlformats.org/officeDocument/2006/relationships/worksheet" Target="/xl/worksheets/sheet5.xml" Id="R8e0e9f0df06142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4" hidden="0" customWidth="1"/>
    <x:col min="4" max="4" width="18" hidden="0" customWidth="1"/>
    <x:col min="5" max="5" width="19" hidden="0" customWidth="1"/>
    <x:col min="6" max="6" width="19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  <x:col min="11" max="11" width="17" hidden="0" customWidth="1"/>
  </x:cols>
  <x:sheetData>
    <x:row r="1" ht="24" customHeight="1">
      <x:c r="A1" s="4" t="str">
        <x:v>ALEXA BEAUTY   |   REPORTE DE VENTAS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5" customHeight="1">
      <x:c r="A3" s="9" t="str">
        <x:v>EJEMPLO FICTICIO · NO CONTIENE VENTAS REALES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34" customHeight="1">
      <x:c r="A5" s="14" t="str">
        <x:v>Fecha de pago</x:v>
      </x:c>
      <x:c r="B5" s="14" t="str">
        <x:v>Referencia</x:v>
      </x:c>
      <x:c r="C5" s="14" t="str">
        <x:v>Cliente (ficticio)</x:v>
      </x:c>
      <x:c r="D5" s="14" t="str">
        <x:v>Método</x:v>
      </x:c>
      <x:c r="E5" s="14" t="str">
        <x:v>Subtotal COP</x:v>
      </x:c>
      <x:c r="F5" s="14" t="str">
        <x:v>Descuento COP</x:v>
      </x:c>
      <x:c r="G5" s="14" t="str">
        <x:v>Envío COP</x:v>
      </x:c>
      <x:c r="H5" s="14" t="str">
        <x:v>Total pagado COP</x:v>
      </x:c>
      <x:c r="I5" s="14" t="str">
        <x:v>Verificado por</x:v>
      </x:c>
      <x:c r="J5" s="14" t="str">
        <x:v>Estado</x:v>
      </x:c>
      <x:c r="K5" s="14" t="str">
        <x:v>Canal</x:v>
      </x:c>
    </x:row>
    <x:row r="6">
      <x:c r="A6" s="20" t="n">
        <x:v>46305.427083333336</x:v>
      </x:c>
      <x:c r="B6" t="str">
        <x:v>AB-2026-000001</x:v>
      </x:c>
      <x:c r="C6" t="str">
        <x:v>Cliente demo 1</x:v>
      </x:c>
      <x:c r="D6" t="str">
        <x:v>Transferencia</x:v>
      </x:c>
      <x:c r="E6" s="18" t="n">
        <x:v>60000</x:v>
      </x:c>
      <x:c r="F6" s="18" t="n">
        <x:v>0</x:v>
      </x:c>
      <x:c r="G6" s="18" t="n">
        <x:v>0</x:v>
      </x:c>
      <x:c r="H6" s="18" t="n">
        <x:v>60000</x:v>
      </x:c>
      <x:c r="I6" t="str">
        <x:v>Admin demo</x:v>
      </x:c>
      <x:c r="J6" t="str">
        <x:v>PAGADO</x:v>
      </x:c>
      <x:c r="K6" t="str">
        <x:v>WhatsApp</x:v>
      </x:c>
    </x:row>
    <x:row r="7">
      <x:c r="A7" s="20" t="n">
        <x:v>46305.65277777778</x:v>
      </x:c>
      <x:c r="B7" t="str">
        <x:v>AB-2026-000002</x:v>
      </x:c>
      <x:c r="C7" t="str">
        <x:v>Cliente demo 2</x:v>
      </x:c>
      <x:c r="D7" t="str">
        <x:v>Nequi</x:v>
      </x:c>
      <x:c r="E7" s="18" t="n">
        <x:v>35000</x:v>
      </x:c>
      <x:c r="F7" s="18" t="n">
        <x:v>0</x:v>
      </x:c>
      <x:c r="G7" s="18" t="n">
        <x:v>0</x:v>
      </x:c>
      <x:c r="H7" s="18" t="n">
        <x:v>35000</x:v>
      </x:c>
      <x:c r="I7" t="str">
        <x:v>Admin demo</x:v>
      </x:c>
      <x:c r="J7" t="str">
        <x:v>PAGADO</x:v>
      </x:c>
      <x:c r="K7" t="str">
        <x:v>WhatsApp</x:v>
      </x:c>
    </x:row>
    <x:row r="8">
      <x:c r="A8" s="20" t="n">
        <x:v>46306.50347222222</x:v>
      </x:c>
      <x:c r="B8" t="str">
        <x:v>AB-2026-000003</x:v>
      </x:c>
      <x:c r="C8" t="str">
        <x:v>Cliente demo 3</x:v>
      </x:c>
      <x:c r="D8" t="str">
        <x:v>Daviplata</x:v>
      </x:c>
      <x:c r="E8" s="18" t="n">
        <x:v>94000</x:v>
      </x:c>
      <x:c r="F8" s="18" t="n">
        <x:v>0</x:v>
      </x:c>
      <x:c r="G8" s="18" t="n">
        <x:v>0</x:v>
      </x:c>
      <x:c r="H8" s="18" t="n">
        <x:v>94000</x:v>
      </x:c>
      <x:c r="I8" t="str">
        <x:v>Admin demo</x:v>
      </x:c>
      <x:c r="J8" t="str">
        <x:v>PAGADO</x:v>
      </x:c>
      <x:c r="K8" t="str">
        <x:v>WhatsApp</x:v>
      </x:c>
    </x:row>
    <x:row r="10" ht="24" customHeight="1">
      <x:c r="G10" s="9" t="str">
        <x:v>TOTAL</x:v>
      </x:c>
      <x:c r="H10" s="22" t="n">
        <x:f>SUM(H6:H8)</x:f>
        <x:v>189000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7" hidden="0" customWidth="1"/>
    <x:col min="4" max="4" width="22" hidden="0" customWidth="1"/>
    <x:col min="5" max="5" width="17" hidden="0" customWidth="1"/>
    <x:col min="6" max="6" width="14" hidden="0" customWidth="1"/>
    <x:col min="7" max="7" width="22" hidden="0" customWidth="1"/>
    <x:col min="8" max="8" width="21" hidden="0" customWidth="1"/>
    <x:col min="9" max="9" width="22" hidden="0" customWidth="1"/>
  </x:cols>
  <x:sheetData>
    <x:row r="1" ht="24" customHeight="1">
      <x:c r="A1" s="4" t="str">
        <x:v>ALEXA BEAUTY   |   REPORTE DE VENTAS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5" customHeight="1">
      <x:c r="A3" s="9" t="str">
        <x:v>EJEMPLO FICTICIO · NO CONTIENE VENTAS REALES</x:v>
      </x:c>
      <x:c r="B3" s="9"/>
      <x:c r="C3" s="9"/>
      <x:c r="D3" s="9"/>
      <x:c r="E3" s="9"/>
      <x:c r="F3" s="9"/>
      <x:c r="G3" s="9"/>
      <x:c r="H3" s="9"/>
      <x:c r="I3" s="9"/>
    </x:row>
    <x:row r="5" ht="34" customHeight="1">
      <x:c r="A5" s="14" t="str">
        <x:v>Referencia</x:v>
      </x:c>
      <x:c r="B5" s="14" t="str">
        <x:v>SKU</x:v>
      </x:c>
      <x:c r="C5" s="14" t="str">
        <x:v>Producto</x:v>
      </x:c>
      <x:c r="D5" s="14" t="str">
        <x:v>Marca</x:v>
      </x:c>
      <x:c r="E5" s="14" t="str">
        <x:v>Tono</x:v>
      </x:c>
      <x:c r="F5" s="14" t="str">
        <x:v>Cantidad</x:v>
      </x:c>
      <x:c r="G5" s="14" t="str">
        <x:v>Precio unitario COP</x:v>
      </x:c>
      <x:c r="H5" s="14" t="str">
        <x:v>Total línea COP</x:v>
      </x:c>
      <x:c r="I5" s="14" t="str">
        <x:v>Costo unitario COP</x:v>
      </x:c>
    </x:row>
    <x:row r="6">
      <x:c r="A6" t="str">
        <x:v>AB-2026-000001</x:v>
      </x:c>
      <x:c r="B6" t="str">
        <x:v>LAB-MAT-NUD01</x:v>
      </x:c>
      <x:c r="C6" t="str">
        <x:v>Labial mate duradero</x:v>
      </x:c>
      <x:c r="D6" t="str">
        <x:v>Bella Cosmetics</x:v>
      </x:c>
      <x:c r="E6" t="str">
        <x:v>Nude 01</x:v>
      </x:c>
      <x:c r="F6" t="n">
        <x:v>2</x:v>
      </x:c>
      <x:c r="G6" s="18" t="n">
        <x:v>18000</x:v>
      </x:c>
      <x:c r="H6" s="18" t="n">
        <x:f>F6*G6</x:f>
        <x:v>36000</x:v>
      </x:c>
      <x:c r="I6" s="18" t="n">
        <x:v>9000</x:v>
      </x:c>
    </x:row>
    <x:row r="7">
      <x:c r="A7" t="str">
        <x:v>AB-2026-000001</x:v>
      </x:c>
      <x:c r="B7" t="str">
        <x:v>RUB-ROS-02</x:v>
      </x:c>
      <x:c r="C7" t="str">
        <x:v>Rubor compacto</x:v>
      </x:c>
      <x:c r="D7" t="str">
        <x:v>Rosa Glow</x:v>
      </x:c>
      <x:c r="E7" t="str">
        <x:v>Rosa 02</x:v>
      </x:c>
      <x:c r="F7" t="n">
        <x:v>1</x:v>
      </x:c>
      <x:c r="G7" s="18" t="n">
        <x:v>24000</x:v>
      </x:c>
      <x:c r="H7" s="18" t="n">
        <x:f>F7*G7</x:f>
        <x:v>24000</x:v>
      </x:c>
      <x:c r="I7" s="18" t="n">
        <x:v>12000</x:v>
      </x:c>
    </x:row>
    <x:row r="8">
      <x:c r="A8" t="str">
        <x:v>AB-2026-000002</x:v>
      </x:c>
      <x:c r="B8" t="str">
        <x:v>BASE-03</x:v>
      </x:c>
      <x:c r="C8" t="str">
        <x:v>Base líquida</x:v>
      </x:c>
      <x:c r="D8" t="str">
        <x:v>Bella Cosmetics</x:v>
      </x:c>
      <x:c r="E8" t="str">
        <x:v>03</x:v>
      </x:c>
      <x:c r="F8" t="n">
        <x:v>1</x:v>
      </x:c>
      <x:c r="G8" s="18" t="n">
        <x:v>35000</x:v>
      </x:c>
      <x:c r="H8" s="18" t="n">
        <x:f>F8*G8</x:f>
        <x:v>35000</x:v>
      </x:c>
      <x:c r="I8" s="18" t="n">
        <x:v>19000</x:v>
      </x:c>
    </x:row>
    <x:row r="9">
      <x:c r="A9" t="str">
        <x:v>AB-2026-000003</x:v>
      </x:c>
      <x:c r="B9" t="str">
        <x:v>RUB-ROS-02</x:v>
      </x:c>
      <x:c r="C9" t="str">
        <x:v>Rubor compacto</x:v>
      </x:c>
      <x:c r="D9" t="str">
        <x:v>Rosa Glow</x:v>
      </x:c>
      <x:c r="E9" t="str">
        <x:v>Rosa 02</x:v>
      </x:c>
      <x:c r="F9" t="n">
        <x:v>1</x:v>
      </x:c>
      <x:c r="G9" s="18" t="n">
        <x:v>24000</x:v>
      </x:c>
      <x:c r="H9" s="18" t="n">
        <x:f>F9*G9</x:f>
        <x:v>24000</x:v>
      </x:c>
      <x:c r="I9" s="18" t="n">
        <x:v>12000</x:v>
      </x:c>
    </x:row>
    <x:row r="10">
      <x:c r="A10" t="str">
        <x:v>AB-2026-000003</x:v>
      </x:c>
      <x:c r="B10" t="str">
        <x:v>BASE-03</x:v>
      </x:c>
      <x:c r="C10" t="str">
        <x:v>Base líquida</x:v>
      </x:c>
      <x:c r="D10" t="str">
        <x:v>Bella Cosmetics</x:v>
      </x:c>
      <x:c r="E10" t="str">
        <x:v>03</x:v>
      </x:c>
      <x:c r="F10" t="n">
        <x:v>2</x:v>
      </x:c>
      <x:c r="G10" s="18" t="n">
        <x:v>35000</x:v>
      </x:c>
      <x:c r="H10" s="18" t="n">
        <x:f>F10*G10</x:f>
        <x:v>70000</x:v>
      </x:c>
      <x:c r="I10" s="18" t="n">
        <x:v>19000</x:v>
      </x:c>
    </x:row>
    <x:row r="12">
      <x:c r="G12" s="9" t="str">
        <x:v>TOTAL</x:v>
      </x:c>
      <x:c r="H12" s="22" t="n">
        <x:f>SUM(H6:H10)</x:f>
        <x:v>189000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30" hidden="0" customWidth="1"/>
    <x:col min="4" max="4" width="18" hidden="0" customWidth="1"/>
    <x:col min="5" max="5" width="22" hidden="0" customWidth="1"/>
    <x:col min="6" max="6" width="26" hidden="0" customWidth="1"/>
  </x:cols>
  <x:sheetData>
    <x:row r="1" ht="24" customHeight="1">
      <x:c r="A1" s="4" t="str">
        <x:v>ALEXA BEAUTY   |   REPORTE DE VENTAS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5" customHeight="1">
      <x:c r="A3" s="9" t="str">
        <x:v>EJEMPLO FICTICIO · NO CONTIENE VENTAS REALES</x:v>
      </x:c>
      <x:c r="B3" s="9"/>
      <x:c r="C3" s="9"/>
      <x:c r="D3" s="9"/>
      <x:c r="E3" s="9"/>
      <x:c r="F3" s="9"/>
    </x:row>
    <x:row r="5" ht="34" customHeight="1">
      <x:c r="A5" s="14" t="str">
        <x:v>Rango</x:v>
      </x:c>
      <x:c r="B5" s="14" t="str">
        <x:v>SKU</x:v>
      </x:c>
      <x:c r="C5" s="14" t="str">
        <x:v>Producto</x:v>
      </x:c>
      <x:c r="D5" s="14" t="str">
        <x:v>Unidades</x:v>
      </x:c>
      <x:c r="E5" s="14" t="str">
        <x:v>Ingresos COP</x:v>
      </x:c>
      <x:c r="F5" s="14" t="str">
        <x:v>Participación ingresos</x:v>
      </x:c>
    </x:row>
    <x:row r="6">
      <x:c r="A6" t="n">
        <x:v>1</x:v>
      </x:c>
      <x:c r="B6" t="str">
        <x:v>BASE-03</x:v>
      </x:c>
      <x:c r="C6" t="str">
        <x:v>Base líquida</x:v>
      </x:c>
      <x:c r="D6" t="n">
        <x:f>SUMIF(DETALLE_PRODUCTOS!$B$6:$B$10,B6,DETALLE_PRODUCTOS!$F$6:$F$10)</x:f>
        <x:v>3</x:v>
      </x:c>
      <x:c r="E6" s="18" t="n">
        <x:f>SUMIF(DETALLE_PRODUCTOS!$B$6:$B$10,B6,DETALLE_PRODUCTOS!$H$6:$H$10)</x:f>
        <x:v>105000</x:v>
      </x:c>
      <x:c r="F6" s="24" t="n">
        <x:f>IFERROR(E6/SUM($E$6:$E$8),0)</x:f>
        <x:v>0.5555555555555556</x:v>
      </x:c>
    </x:row>
    <x:row r="7">
      <x:c r="A7" t="n">
        <x:v>2</x:v>
      </x:c>
      <x:c r="B7" t="str">
        <x:v>LAB-MAT-NUD01</x:v>
      </x:c>
      <x:c r="C7" t="str">
        <x:v>Labial mate duradero</x:v>
      </x:c>
      <x:c r="D7" t="n">
        <x:f>SUMIF(DETALLE_PRODUCTOS!$B$6:$B$10,B7,DETALLE_PRODUCTOS!$F$6:$F$10)</x:f>
        <x:v>2</x:v>
      </x:c>
      <x:c r="E7" s="18" t="n">
        <x:f>SUMIF(DETALLE_PRODUCTOS!$B$6:$B$10,B7,DETALLE_PRODUCTOS!$H$6:$H$10)</x:f>
        <x:v>36000</x:v>
      </x:c>
      <x:c r="F7" s="24" t="n">
        <x:f>IFERROR(E7/SUM($E$6:$E$8),0)</x:f>
        <x:v>0.19047619047619047</x:v>
      </x:c>
    </x:row>
    <x:row r="8">
      <x:c r="A8" t="n">
        <x:v>3</x:v>
      </x:c>
      <x:c r="B8" t="str">
        <x:v>RUB-ROS-02</x:v>
      </x:c>
      <x:c r="C8" t="str">
        <x:v>Rubor compacto</x:v>
      </x:c>
      <x:c r="D8" t="n">
        <x:f>SUMIF(DETALLE_PRODUCTOS!$B$6:$B$10,B8,DETALLE_PRODUCTOS!$F$6:$F$10)</x:f>
        <x:v>2</x:v>
      </x:c>
      <x:c r="E8" s="18" t="n">
        <x:f>SUMIF(DETALLE_PRODUCTOS!$B$6:$B$10,B8,DETALLE_PRODUCTOS!$H$6:$H$10)</x:f>
        <x:v>48000</x:v>
      </x:c>
      <x:c r="F8" s="24" t="n">
        <x:f>IFERROR(E8/SUM($E$6:$E$8),0)</x:f>
        <x:v>0.25396825396825395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50" hidden="0" customWidth="1"/>
  </x:cols>
  <x:sheetData>
    <x:row r="1" ht="24" customHeight="1">
      <x:c r="A1" s="4" t="str">
        <x:v>ALEXA BEAUTY   |   REPORTE DE VENTAS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5" customHeight="1">
      <x:c r="A3" s="9" t="str">
        <x:v>EJEMPLO FICTICIO · NO CONTIENE VENTAS REALES</x:v>
      </x:c>
      <x:c r="B3" s="9"/>
      <x:c r="C3" s="9"/>
      <x:c r="D3" s="9"/>
      <x:c r="E3" s="9"/>
      <x:c r="F3" s="9"/>
      <x:c r="G3" s="9"/>
    </x:row>
    <x:row r="5" ht="29" customHeight="1">
      <x:c r="A5" s="14" t="str">
        <x:v>INDICADOR</x:v>
      </x:c>
      <x:c r="B5" s="14" t="str">
        <x:v>RESULTADO</x:v>
      </x:c>
    </x:row>
    <x:row r="6" ht="29" customHeight="1">
      <x:c r="A6" t="str">
        <x:v>Ventas pagadas (COP)</x:v>
      </x:c>
      <x:c r="B6" s="18" t="n">
        <x:f>SUM(VENTAS!H6:H8)</x:f>
        <x:v>189000</x:v>
      </x:c>
    </x:row>
    <x:row r="7" ht="29" customHeight="1">
      <x:c r="A7" t="str">
        <x:v>Pedidos pagados</x:v>
      </x:c>
      <x:c r="B7" t="n">
        <x:f>COUNTA(VENTAS!B6:B8)</x:f>
        <x:v>3</x:v>
      </x:c>
    </x:row>
    <x:row r="8" ht="29" customHeight="1">
      <x:c r="A8" t="str">
        <x:v>Unidades vendidas</x:v>
      </x:c>
      <x:c r="B8" t="n">
        <x:f>SUM(DETALLE_PRODUCTOS!F6:F10)</x:f>
        <x:v>7</x:v>
      </x:c>
    </x:row>
    <x:row r="9" ht="29" customHeight="1">
      <x:c r="A9" t="str">
        <x:v>Ticket promedio (COP)</x:v>
      </x:c>
      <x:c r="B9" s="18" t="n">
        <x:f>IFERROR(B6/B7,0)</x:f>
        <x:v>63000</x:v>
      </x:c>
    </x:row>
    <x:row r="12">
      <x:c r="A12" s="9" t="str">
        <x:v>PERÍODO DEMOSTRATIVO</x:v>
      </x:c>
      <x:c r="B12" t="str">
        <x:v>10/10/2026–11/10/2026</x:v>
      </x:c>
    </x:row>
    <x:row r="13">
      <x:c r="A13" s="9" t="str">
        <x:v>Estado incluido</x:v>
      </x:c>
      <x:c r="B13" t="str">
        <x:v>Únicamente PAGADO</x:v>
      </x:c>
    </x:row>
    <x:row r="14">
      <x:c r="A14" s="9" t="str">
        <x:v>Zona horaria</x:v>
      </x:c>
      <x:c r="B14" t="str">
        <x:v>America/Bogota</x:v>
      </x:c>
    </x:row>
    <x:row r="15">
      <x:c r="A15" s="9" t="str">
        <x:v>Origen</x:v>
      </x:c>
      <x:c r="B15" t="str">
        <x:v>Datos ficticios para visualizar la plantilla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75" hidden="0" customWidth="1"/>
  </x:cols>
  <x:sheetData>
    <x:row r="1" ht="24" customHeight="1">
      <x:c r="A1" s="4" t="str">
        <x:v>ALEXA BEAUTY   |   REPORTE DE VENTAS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5" customHeight="1">
      <x:c r="A3" s="9" t="str">
        <x:v>EJEMPLO FICTICIO · NO CONTIENE VENTAS REALES</x:v>
      </x:c>
      <x:c r="B3" s="9"/>
      <x:c r="C3" s="9"/>
      <x:c r="D3" s="9"/>
    </x:row>
    <x:row r="5" ht="34" customHeight="1">
      <x:c r="A5" s="14" t="str">
        <x:v>Campo</x:v>
      </x:c>
      <x:c r="B5" s="14" t="str">
        <x:v>Valor</x:v>
      </x:c>
    </x:row>
    <x:row r="6">
      <x:c r="A6" t="str">
        <x:v>Versión</x:v>
      </x:c>
      <x:c r="B6" s="26" t="str">
        <x:v>ALEXA_SALES_V1</x:v>
      </x:c>
    </x:row>
    <x:row r="7">
      <x:c r="A7" t="str">
        <x:v>Moneda</x:v>
      </x:c>
      <x:c r="B7" s="26" t="str">
        <x:v>COP</x:v>
      </x:c>
    </x:row>
    <x:row r="8">
      <x:c r="A8" t="str">
        <x:v>Zona horaria</x:v>
      </x:c>
      <x:c r="B8" s="26" t="str">
        <x:v>America/Bogota</x:v>
      </x:c>
    </x:row>
    <x:row r="9">
      <x:c r="A9" t="str">
        <x:v>Inicio (local)</x:v>
      </x:c>
      <x:c r="B9" s="26" t="str">
        <x:v>2026-10-10 00:00</x:v>
      </x:c>
    </x:row>
    <x:row r="10">
      <x:c r="A10" t="str">
        <x:v>Fin (local)</x:v>
      </x:c>
      <x:c r="B10" s="26" t="str">
        <x:v>2026-10-11 23:59:59</x:v>
      </x:c>
    </x:row>
    <x:row r="11">
      <x:c r="A11" t="str">
        <x:v>Estado filtrado</x:v>
      </x:c>
      <x:c r="B11" s="26" t="str">
        <x:v>PAGADO</x:v>
      </x:c>
    </x:row>
    <x:row r="12">
      <x:c r="A12" t="str">
        <x:v>Aviso</x:v>
      </x:c>
      <x:c r="B12" s="26" t="str">
        <x:v>DEMO: datos inventados exclusivamente para revisar el diseño</x:v>
      </x:c>
    </x:row>
  </x:sheetData>
  <x:mergeCells>
    <x:mergeCell ref="A1:D2"/>
    <x:mergeCell ref="A3:D3"/>
  </x:mergeCells>
  <x:pageMargins left="0.7" right="0.7" top="0.75" bottom="0.75" header="0.3" footer="0.3"/>
</x:worksheet>
</file>